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veg\OneDrive\Desktop\"/>
    </mc:Choice>
  </mc:AlternateContent>
  <xr:revisionPtr revIDLastSave="0" documentId="8_{A5AA552B-D588-4239-876B-FED6AD433068}" xr6:coauthVersionLast="47" xr6:coauthVersionMax="47" xr10:uidLastSave="{00000000-0000-0000-0000-000000000000}"/>
  <bookViews>
    <workbookView xWindow="-120" yWindow="-120" windowWidth="20730" windowHeight="11040" xr2:uid="{81A32CDA-19C3-4581-B492-5036AF912A5C}"/>
  </bookViews>
  <sheets>
    <sheet name="PRESUPUEST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0" i="1" l="1"/>
  <c r="W40" i="1"/>
  <c r="V40" i="1"/>
  <c r="U40" i="1"/>
  <c r="T33" i="1"/>
  <c r="S33" i="1"/>
  <c r="R33" i="1"/>
  <c r="Q33" i="1"/>
  <c r="P33" i="1"/>
  <c r="O33" i="1"/>
  <c r="N33" i="1"/>
  <c r="M33" i="1"/>
  <c r="L33" i="1"/>
  <c r="K33" i="1"/>
  <c r="J33" i="1"/>
  <c r="I33" i="1"/>
  <c r="U32" i="1"/>
  <c r="D32" i="1"/>
  <c r="U31" i="1"/>
  <c r="F31" i="1"/>
  <c r="E31" i="1"/>
  <c r="U30" i="1"/>
  <c r="F30" i="1"/>
  <c r="E30" i="1"/>
  <c r="U29" i="1"/>
  <c r="F29" i="1"/>
  <c r="E29" i="1"/>
  <c r="U28" i="1"/>
  <c r="F28" i="1"/>
  <c r="E28" i="1"/>
  <c r="U27" i="1"/>
  <c r="D27" i="1"/>
  <c r="U26" i="1"/>
  <c r="F26" i="1"/>
  <c r="E26" i="1"/>
  <c r="U25" i="1"/>
  <c r="D25" i="1"/>
  <c r="U24" i="1"/>
  <c r="D24" i="1"/>
  <c r="U23" i="1"/>
  <c r="D23" i="1"/>
  <c r="U22" i="1"/>
  <c r="F22" i="1"/>
  <c r="E22" i="1"/>
  <c r="U21" i="1"/>
  <c r="D21" i="1"/>
  <c r="U20" i="1"/>
  <c r="D20" i="1"/>
  <c r="U19" i="1"/>
  <c r="D19" i="1"/>
  <c r="U18" i="1"/>
  <c r="F18" i="1"/>
  <c r="E18" i="1"/>
  <c r="T14" i="1"/>
  <c r="S14" i="1"/>
  <c r="R14" i="1"/>
  <c r="Q14" i="1"/>
  <c r="P14" i="1"/>
  <c r="O14" i="1"/>
  <c r="L12" i="1"/>
  <c r="J12" i="1"/>
  <c r="I12" i="1"/>
  <c r="F12" i="1"/>
  <c r="E12" i="1"/>
  <c r="U11" i="1"/>
  <c r="F11" i="1"/>
  <c r="E11" i="1"/>
  <c r="U10" i="1"/>
  <c r="F10" i="1"/>
  <c r="E10" i="1"/>
  <c r="U9" i="1"/>
  <c r="F9" i="1"/>
  <c r="E9" i="1"/>
  <c r="N8" i="1"/>
  <c r="M8" i="1"/>
  <c r="L8" i="1"/>
  <c r="K8" i="1"/>
  <c r="J8" i="1"/>
  <c r="I8" i="1"/>
  <c r="F8" i="1"/>
  <c r="E8" i="1"/>
  <c r="N7" i="1"/>
  <c r="M7" i="1"/>
  <c r="L7" i="1"/>
  <c r="K7" i="1"/>
  <c r="J7" i="1"/>
  <c r="I7" i="1"/>
  <c r="D7" i="1"/>
  <c r="G29" i="1" l="1"/>
  <c r="G28" i="1"/>
  <c r="F27" i="1"/>
  <c r="E27" i="1"/>
  <c r="G26" i="1"/>
  <c r="F25" i="1"/>
  <c r="E25" i="1"/>
  <c r="F24" i="1"/>
  <c r="E24" i="1"/>
  <c r="F23" i="1"/>
  <c r="E23" i="1"/>
  <c r="G22" i="1"/>
  <c r="F21" i="1"/>
  <c r="E21" i="1"/>
  <c r="F20" i="1"/>
  <c r="E20" i="1"/>
  <c r="F19" i="1"/>
  <c r="E19" i="1"/>
  <c r="G18" i="1"/>
  <c r="E7" i="1"/>
  <c r="E14" i="1" s="1"/>
  <c r="N14" i="1"/>
  <c r="M14" i="1"/>
  <c r="L14" i="1"/>
  <c r="K14" i="1"/>
  <c r="J14" i="1"/>
  <c r="I14" i="1"/>
  <c r="D14" i="1"/>
  <c r="U12" i="1"/>
  <c r="G12" i="1"/>
  <c r="G11" i="1"/>
  <c r="G10" i="1"/>
  <c r="G9" i="1"/>
  <c r="U8" i="1"/>
  <c r="G8" i="1"/>
  <c r="U7" i="1"/>
  <c r="G7" i="1"/>
  <c r="F7" i="1"/>
  <c r="F14" i="1" s="1"/>
  <c r="T35" i="1"/>
  <c r="S35" i="1"/>
  <c r="R35" i="1"/>
  <c r="Q35" i="1"/>
  <c r="P35" i="1"/>
  <c r="O35" i="1"/>
  <c r="D33" i="1"/>
  <c r="F32" i="1"/>
  <c r="E32" i="1"/>
  <c r="G31" i="1"/>
  <c r="G30" i="1"/>
  <c r="H29" i="1" l="1"/>
  <c r="V29" i="1"/>
  <c r="H28" i="1"/>
  <c r="V28" i="1"/>
  <c r="H26" i="1"/>
  <c r="V26" i="1"/>
  <c r="H22" i="1"/>
  <c r="V22" i="1"/>
  <c r="H18" i="1"/>
  <c r="V18" i="1"/>
  <c r="G33" i="1"/>
  <c r="N35" i="1"/>
  <c r="M35" i="1"/>
  <c r="L35" i="1"/>
  <c r="K35" i="1"/>
  <c r="J35" i="1"/>
  <c r="I35" i="1"/>
  <c r="I38" i="1"/>
  <c r="H12" i="1"/>
  <c r="V12" i="1"/>
  <c r="H11" i="1"/>
  <c r="V11" i="1"/>
  <c r="H10" i="1"/>
  <c r="V10" i="1"/>
  <c r="H9" i="1"/>
  <c r="V9" i="1"/>
  <c r="H8" i="1"/>
  <c r="V8" i="1"/>
  <c r="U14" i="1"/>
  <c r="H7" i="1"/>
  <c r="H14" i="1" s="1"/>
  <c r="V7" i="1"/>
  <c r="G14" i="1"/>
  <c r="G35" i="1" s="1"/>
  <c r="H35" i="1" s="1"/>
  <c r="H31" i="1"/>
  <c r="V31" i="1"/>
  <c r="H30" i="1"/>
  <c r="V30" i="1"/>
  <c r="G32" i="1"/>
  <c r="G27" i="1"/>
  <c r="G25" i="1"/>
  <c r="G24" i="1"/>
  <c r="G23" i="1"/>
  <c r="G21" i="1"/>
  <c r="G20" i="1"/>
  <c r="G19" i="1"/>
  <c r="E33" i="1"/>
  <c r="E35" i="1" s="1"/>
  <c r="D35" i="1"/>
  <c r="F33" i="1"/>
  <c r="F35" i="1" s="1"/>
  <c r="X29" i="1" l="1"/>
  <c r="W29" i="1"/>
  <c r="X28" i="1"/>
  <c r="W28" i="1"/>
  <c r="X26" i="1"/>
  <c r="W26" i="1"/>
  <c r="X22" i="1"/>
  <c r="W22" i="1"/>
  <c r="X18" i="1"/>
  <c r="W18" i="1"/>
  <c r="I40" i="1"/>
  <c r="J37" i="1"/>
  <c r="J38" i="1" s="1"/>
  <c r="X12" i="1"/>
  <c r="W12" i="1"/>
  <c r="X11" i="1"/>
  <c r="W11" i="1"/>
  <c r="X10" i="1"/>
  <c r="W10" i="1"/>
  <c r="X9" i="1"/>
  <c r="W9" i="1"/>
  <c r="X8" i="1"/>
  <c r="W8" i="1"/>
  <c r="W7" i="1"/>
  <c r="W14" i="1" s="1"/>
  <c r="V14" i="1"/>
  <c r="X14" i="1" s="1"/>
  <c r="X31" i="1"/>
  <c r="W31" i="1"/>
  <c r="X30" i="1"/>
  <c r="W30" i="1"/>
  <c r="V32" i="1"/>
  <c r="H32" i="1"/>
  <c r="V27" i="1"/>
  <c r="H27" i="1"/>
  <c r="V25" i="1"/>
  <c r="H25" i="1"/>
  <c r="V24" i="1"/>
  <c r="H24" i="1"/>
  <c r="V23" i="1"/>
  <c r="H23" i="1"/>
  <c r="V21" i="1"/>
  <c r="H21" i="1"/>
  <c r="V20" i="1"/>
  <c r="H20" i="1"/>
  <c r="V19" i="1"/>
  <c r="H19" i="1"/>
  <c r="X7" i="1"/>
  <c r="K37" i="1" l="1"/>
  <c r="K38" i="1" s="1"/>
  <c r="J40" i="1"/>
  <c r="X32" i="1"/>
  <c r="W32" i="1"/>
  <c r="X27" i="1"/>
  <c r="W27" i="1"/>
  <c r="X25" i="1"/>
  <c r="W25" i="1"/>
  <c r="X24" i="1"/>
  <c r="W24" i="1"/>
  <c r="X23" i="1"/>
  <c r="W23" i="1"/>
  <c r="X21" i="1"/>
  <c r="W21" i="1"/>
  <c r="X20" i="1"/>
  <c r="W20" i="1"/>
  <c r="X19" i="1"/>
  <c r="W19" i="1"/>
  <c r="H33" i="1"/>
  <c r="V33" i="1"/>
  <c r="L37" i="1" l="1"/>
  <c r="L38" i="1" s="1"/>
  <c r="K40" i="1"/>
  <c r="W33" i="1"/>
  <c r="M37" i="1" l="1"/>
  <c r="M38" i="1" s="1"/>
  <c r="L40" i="1"/>
  <c r="N37" i="1" l="1"/>
  <c r="N38" i="1" s="1"/>
  <c r="M40" i="1"/>
  <c r="O37" i="1" l="1"/>
  <c r="O38" i="1" s="1"/>
  <c r="N40" i="1"/>
  <c r="P37" i="1" l="1"/>
  <c r="P38" i="1" s="1"/>
  <c r="O40" i="1"/>
  <c r="Q37" i="1" l="1"/>
  <c r="Q38" i="1" s="1"/>
  <c r="P40" i="1"/>
  <c r="R37" i="1" l="1"/>
  <c r="R38" i="1" s="1"/>
  <c r="Q40" i="1"/>
  <c r="S37" i="1" l="1"/>
  <c r="S38" i="1" s="1"/>
  <c r="R40" i="1"/>
  <c r="T37" i="1" l="1"/>
  <c r="T38" i="1" s="1"/>
  <c r="S40" i="1"/>
  <c r="T40" i="1" l="1"/>
  <c r="T41" i="1" l="1"/>
</calcChain>
</file>

<file path=xl/sharedStrings.xml><?xml version="1.0" encoding="utf-8"?>
<sst xmlns="http://schemas.openxmlformats.org/spreadsheetml/2006/main" count="48" uniqueCount="44">
  <si>
    <t>PRESUPUESTO PERIODO 2023</t>
  </si>
  <si>
    <t>GASTADO</t>
  </si>
  <si>
    <t>ESTIMADO</t>
  </si>
  <si>
    <t>LO QUE QUEDA</t>
  </si>
  <si>
    <t>CUENTA CONTABLE</t>
  </si>
  <si>
    <t>PERIODO ANTERIOR</t>
  </si>
  <si>
    <t>AUMENTO DEL 10%</t>
  </si>
  <si>
    <t>INFLACIÓN</t>
  </si>
  <si>
    <t>PRESUPUESTO ESTIMADO</t>
  </si>
  <si>
    <t>PROMEDIO</t>
  </si>
  <si>
    <t>EJECUTADO</t>
  </si>
  <si>
    <t>RECURSOS ESTIMADOS</t>
  </si>
  <si>
    <t>POR GASTAR</t>
  </si>
  <si>
    <t>EJECUCIÓN %</t>
  </si>
  <si>
    <t>INGRESOS</t>
  </si>
  <si>
    <t>Abonados Domipre</t>
  </si>
  <si>
    <t>Abonados Emprego</t>
  </si>
  <si>
    <t>Multas</t>
  </si>
  <si>
    <t>Reconexiones</t>
  </si>
  <si>
    <t>Venta de previstas</t>
  </si>
  <si>
    <t>OTROS INGRESOS</t>
  </si>
  <si>
    <t>TOTAL INGRESOS</t>
  </si>
  <si>
    <t>EGRESOS</t>
  </si>
  <si>
    <t>ARTICULOS DE ASEO</t>
  </si>
  <si>
    <t>CARGAS SOCIALES</t>
  </si>
  <si>
    <t>MANO DE OBRA</t>
  </si>
  <si>
    <t>MATERIALES CONSTRUCC</t>
  </si>
  <si>
    <t>UTILES DE OFICINA</t>
  </si>
  <si>
    <t>SERV. PROFESIONALES</t>
  </si>
  <si>
    <t>COMBUSTIBLE</t>
  </si>
  <si>
    <t>ALQUILERES</t>
  </si>
  <si>
    <t>HIDRANTES</t>
  </si>
  <si>
    <t xml:space="preserve">COMUNICACIÓN </t>
  </si>
  <si>
    <t>COMISIONES</t>
  </si>
  <si>
    <t>VIATICOS</t>
  </si>
  <si>
    <t>UNIFORMES</t>
  </si>
  <si>
    <t>MANTEN. VEHICULO</t>
  </si>
  <si>
    <t>SEGUROS</t>
  </si>
  <si>
    <t>SUBTOTAL GASTOS</t>
  </si>
  <si>
    <t>INVERSIONES</t>
  </si>
  <si>
    <t>SALDO INICIAL</t>
  </si>
  <si>
    <t>SALDO FINAL</t>
  </si>
  <si>
    <t>SALDO MINIMO</t>
  </si>
  <si>
    <t>SALDO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</si>
</sst>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43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7" fontId="2" fillId="4" borderId="3" xfId="0" applyNumberFormat="1" applyFont="1" applyFill="1" applyBorder="1" applyAlignment="1">
      <alignment horizontal="center" vertical="center"/>
    </xf>
    <xf numFmtId="17" fontId="2" fillId="4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3" fontId="0" fillId="0" borderId="0" xfId="1" applyFont="1"/>
    <xf numFmtId="43" fontId="0" fillId="0" borderId="5" xfId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43" fontId="0" fillId="4" borderId="7" xfId="1" applyFont="1" applyFill="1" applyBorder="1"/>
    <xf numFmtId="43" fontId="0" fillId="4" borderId="2" xfId="1" applyFont="1" applyFill="1" applyBorder="1"/>
    <xf numFmtId="43" fontId="0" fillId="4" borderId="8" xfId="1" applyFont="1" applyFill="1" applyBorder="1"/>
    <xf numFmtId="0" fontId="0" fillId="0" borderId="9" xfId="0" applyBorder="1"/>
    <xf numFmtId="0" fontId="4" fillId="5" borderId="5" xfId="0" applyFont="1" applyFill="1" applyBorder="1" applyAlignment="1">
      <alignment horizontal="justify" vertical="center" wrapText="1"/>
    </xf>
    <xf numFmtId="43" fontId="5" fillId="5" borderId="0" xfId="1" applyFont="1" applyFill="1" applyAlignment="1">
      <alignment horizontal="justify" vertical="center" wrapText="1"/>
    </xf>
    <xf numFmtId="43" fontId="6" fillId="5" borderId="5" xfId="1" applyFont="1" applyFill="1" applyBorder="1" applyAlignment="1">
      <alignment horizontal="justify" vertical="center" wrapText="1"/>
    </xf>
    <xf numFmtId="43" fontId="6" fillId="5" borderId="10" xfId="1" applyFont="1" applyFill="1" applyBorder="1" applyAlignment="1">
      <alignment horizontal="justify" vertical="center" wrapText="1"/>
    </xf>
    <xf numFmtId="43" fontId="0" fillId="5" borderId="0" xfId="1" applyFont="1" applyFill="1"/>
    <xf numFmtId="43" fontId="0" fillId="5" borderId="5" xfId="1" applyFont="1" applyFill="1" applyBorder="1"/>
    <xf numFmtId="43" fontId="2" fillId="5" borderId="0" xfId="1" applyFont="1" applyFill="1"/>
    <xf numFmtId="0" fontId="0" fillId="5" borderId="5" xfId="0" applyFill="1" applyBorder="1"/>
    <xf numFmtId="43" fontId="7" fillId="5" borderId="0" xfId="1" applyFont="1" applyFill="1"/>
    <xf numFmtId="0" fontId="0" fillId="0" borderId="11" xfId="0" applyBorder="1"/>
    <xf numFmtId="43" fontId="7" fillId="0" borderId="0" xfId="1" applyFont="1"/>
    <xf numFmtId="0" fontId="2" fillId="6" borderId="6" xfId="0" applyFont="1" applyFill="1" applyBorder="1" applyAlignment="1">
      <alignment horizontal="right"/>
    </xf>
    <xf numFmtId="43" fontId="8" fillId="6" borderId="7" xfId="1" applyFont="1" applyFill="1" applyBorder="1" applyAlignment="1">
      <alignment horizontal="right"/>
    </xf>
    <xf numFmtId="43" fontId="8" fillId="6" borderId="2" xfId="1" applyFont="1" applyFill="1" applyBorder="1" applyAlignment="1">
      <alignment horizontal="right"/>
    </xf>
    <xf numFmtId="43" fontId="8" fillId="6" borderId="3" xfId="1" applyFont="1" applyFill="1" applyBorder="1" applyAlignment="1">
      <alignment horizontal="right"/>
    </xf>
    <xf numFmtId="43" fontId="2" fillId="6" borderId="7" xfId="1" applyFont="1" applyFill="1" applyBorder="1"/>
    <xf numFmtId="43" fontId="2" fillId="6" borderId="2" xfId="1" applyFont="1" applyFill="1" applyBorder="1"/>
    <xf numFmtId="43" fontId="8" fillId="4" borderId="7" xfId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5" borderId="0" xfId="0" applyFill="1"/>
    <xf numFmtId="43" fontId="0" fillId="5" borderId="0" xfId="1" applyFont="1" applyFill="1" applyBorder="1"/>
    <xf numFmtId="43" fontId="6" fillId="5" borderId="11" xfId="1" applyFont="1" applyFill="1" applyBorder="1" applyAlignment="1">
      <alignment horizontal="justify" vertical="center" wrapText="1"/>
    </xf>
    <xf numFmtId="43" fontId="6" fillId="5" borderId="12" xfId="1" applyFont="1" applyFill="1" applyBorder="1" applyAlignment="1">
      <alignment horizontal="justify" vertical="center" wrapText="1"/>
    </xf>
    <xf numFmtId="43" fontId="0" fillId="5" borderId="13" xfId="1" applyFont="1" applyFill="1" applyBorder="1"/>
    <xf numFmtId="43" fontId="0" fillId="5" borderId="11" xfId="1" applyFont="1" applyFill="1" applyBorder="1"/>
    <xf numFmtId="43" fontId="8" fillId="6" borderId="6" xfId="1" applyFont="1" applyFill="1" applyBorder="1" applyAlignment="1">
      <alignment horizontal="right"/>
    </xf>
    <xf numFmtId="43" fontId="2" fillId="6" borderId="1" xfId="1" applyFont="1" applyFill="1" applyBorder="1" applyAlignment="1">
      <alignment horizontal="right"/>
    </xf>
    <xf numFmtId="43" fontId="2" fillId="6" borderId="2" xfId="1" applyFont="1" applyFill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43" fontId="2" fillId="6" borderId="3" xfId="0" applyNumberFormat="1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0" fontId="2" fillId="7" borderId="14" xfId="0" applyFont="1" applyFill="1" applyBorder="1" applyAlignment="1">
      <alignment horizontal="center" vertical="center"/>
    </xf>
    <xf numFmtId="43" fontId="8" fillId="7" borderId="14" xfId="1" applyFont="1" applyFill="1" applyBorder="1" applyAlignment="1">
      <alignment horizontal="center" vertical="center"/>
    </xf>
    <xf numFmtId="43" fontId="8" fillId="7" borderId="15" xfId="1" applyFont="1" applyFill="1" applyBorder="1" applyAlignment="1">
      <alignment horizontal="center" vertical="center"/>
    </xf>
    <xf numFmtId="43" fontId="2" fillId="7" borderId="14" xfId="1" applyFont="1" applyFill="1" applyBorder="1" applyAlignment="1">
      <alignment horizontal="center" vertical="center"/>
    </xf>
    <xf numFmtId="43" fontId="7" fillId="5" borderId="0" xfId="1" applyFont="1" applyFill="1" applyBorder="1"/>
    <xf numFmtId="43" fontId="7" fillId="5" borderId="16" xfId="1" applyFont="1" applyFill="1" applyBorder="1"/>
    <xf numFmtId="43" fontId="2" fillId="8" borderId="6" xfId="1" applyFont="1" applyFill="1" applyBorder="1" applyAlignment="1">
      <alignment horizontal="center" vertical="center"/>
    </xf>
    <xf numFmtId="43" fontId="8" fillId="8" borderId="7" xfId="1" applyFont="1" applyFill="1" applyBorder="1" applyAlignment="1">
      <alignment horizontal="center" vertical="center"/>
    </xf>
    <xf numFmtId="43" fontId="2" fillId="8" borderId="7" xfId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41</xdr:row>
      <xdr:rowOff>171450</xdr:rowOff>
    </xdr:from>
    <xdr:to>
      <xdr:col>6</xdr:col>
      <xdr:colOff>896052</xdr:colOff>
      <xdr:row>45</xdr:row>
      <xdr:rowOff>47714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5DE7EB-04A3-4EF4-8C6F-0460A17E2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8305800"/>
          <a:ext cx="5029902" cy="638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AAAE-BC0D-4F3F-AA3B-FF2C8CD65ACF}">
  <dimension ref="B1:Y49"/>
  <sheetViews>
    <sheetView tabSelected="1" workbookViewId="0">
      <selection activeCell="E7" sqref="E7"/>
    </sheetView>
  </sheetViews>
  <sheetFormatPr baseColWidth="10" defaultRowHeight="15" x14ac:dyDescent="0.25"/>
  <cols>
    <col min="1" max="1" width="4.42578125" customWidth="1"/>
    <col min="2" max="2" width="5.85546875" customWidth="1"/>
    <col min="3" max="3" width="22.5703125" customWidth="1"/>
    <col min="4" max="5" width="13.85546875" customWidth="1"/>
    <col min="6" max="6" width="12.28515625" customWidth="1"/>
    <col min="7" max="7" width="13.5703125" customWidth="1"/>
    <col min="8" max="8" width="16.85546875" customWidth="1"/>
    <col min="9" max="9" width="13.5703125" customWidth="1"/>
    <col min="10" max="10" width="14.7109375" customWidth="1"/>
    <col min="11" max="11" width="13.85546875" customWidth="1"/>
    <col min="12" max="12" width="15.140625" customWidth="1"/>
    <col min="13" max="13" width="14.28515625" customWidth="1"/>
    <col min="14" max="14" width="14.140625" customWidth="1"/>
    <col min="15" max="15" width="15.5703125" customWidth="1"/>
    <col min="16" max="16" width="14.140625" customWidth="1"/>
    <col min="17" max="17" width="13.85546875" customWidth="1"/>
    <col min="18" max="18" width="14.7109375" customWidth="1"/>
    <col min="19" max="20" width="13.85546875" customWidth="1"/>
    <col min="21" max="21" width="14.85546875" customWidth="1"/>
    <col min="22" max="22" width="15" customWidth="1"/>
    <col min="23" max="23" width="13.7109375" customWidth="1"/>
    <col min="24" max="24" width="14.140625" customWidth="1"/>
    <col min="25" max="25" width="13.85546875" bestFit="1" customWidth="1"/>
  </cols>
  <sheetData>
    <row r="1" spans="2:25" x14ac:dyDescent="0.25">
      <c r="G1" s="1"/>
      <c r="H1" s="1"/>
    </row>
    <row r="2" spans="2:25" ht="15.75" thickBot="1" x14ac:dyDescent="0.3">
      <c r="C2" s="2" t="s">
        <v>0</v>
      </c>
      <c r="D2" s="2"/>
      <c r="E2" s="2"/>
      <c r="F2" s="2"/>
      <c r="G2" s="2"/>
      <c r="H2" s="2"/>
      <c r="U2" s="3" t="s">
        <v>1</v>
      </c>
      <c r="V2" s="3" t="s">
        <v>2</v>
      </c>
      <c r="W2" s="3" t="s">
        <v>3</v>
      </c>
      <c r="X2" s="3"/>
    </row>
    <row r="3" spans="2:25" ht="30.75" thickBot="1" x14ac:dyDescent="0.3">
      <c r="C3" s="4" t="s">
        <v>4</v>
      </c>
      <c r="D3" s="5" t="s">
        <v>5</v>
      </c>
      <c r="E3" s="5" t="s">
        <v>6</v>
      </c>
      <c r="F3" s="6" t="s">
        <v>7</v>
      </c>
      <c r="G3" s="5" t="s">
        <v>8</v>
      </c>
      <c r="H3" s="5" t="s">
        <v>9</v>
      </c>
      <c r="I3" s="7">
        <v>44927</v>
      </c>
      <c r="J3" s="7">
        <v>44958</v>
      </c>
      <c r="K3" s="7">
        <v>44986</v>
      </c>
      <c r="L3" s="7">
        <v>45017</v>
      </c>
      <c r="M3" s="7">
        <v>45047</v>
      </c>
      <c r="N3" s="7">
        <v>45078</v>
      </c>
      <c r="O3" s="8">
        <v>45108</v>
      </c>
      <c r="P3" s="7">
        <v>45139</v>
      </c>
      <c r="Q3" s="7">
        <v>45170</v>
      </c>
      <c r="R3" s="7">
        <v>45200</v>
      </c>
      <c r="S3" s="7">
        <v>45231</v>
      </c>
      <c r="T3" s="7">
        <v>45261</v>
      </c>
      <c r="U3" s="9" t="s">
        <v>10</v>
      </c>
      <c r="V3" s="10" t="s">
        <v>11</v>
      </c>
      <c r="W3" s="10" t="s">
        <v>12</v>
      </c>
      <c r="X3" s="11" t="s">
        <v>13</v>
      </c>
    </row>
    <row r="4" spans="2:25" ht="15.75" thickBot="1" x14ac:dyDescent="0.3">
      <c r="D4" s="12"/>
      <c r="E4" s="12"/>
      <c r="F4" s="12">
        <v>8.3000000000000007</v>
      </c>
      <c r="I4" s="12"/>
      <c r="J4" s="12"/>
      <c r="K4" s="12"/>
      <c r="L4" s="12"/>
      <c r="M4" s="12"/>
      <c r="N4" s="13"/>
      <c r="O4" s="12"/>
      <c r="P4" s="12"/>
      <c r="Q4" s="12"/>
      <c r="R4" s="12"/>
      <c r="S4" s="12"/>
      <c r="T4" s="13"/>
      <c r="U4" s="12"/>
      <c r="V4" s="12"/>
      <c r="W4" s="12"/>
      <c r="X4" s="12"/>
    </row>
    <row r="5" spans="2:25" ht="15.75" thickBot="1" x14ac:dyDescent="0.3">
      <c r="C5" s="14" t="s">
        <v>14</v>
      </c>
      <c r="D5" s="15"/>
      <c r="E5" s="15"/>
      <c r="F5" s="15"/>
      <c r="G5" s="15"/>
      <c r="H5" s="15"/>
      <c r="I5" s="16"/>
      <c r="J5" s="16"/>
      <c r="K5" s="16"/>
      <c r="L5" s="16"/>
      <c r="M5" s="16"/>
      <c r="N5" s="17"/>
      <c r="O5" s="16"/>
      <c r="P5" s="16"/>
      <c r="Q5" s="16"/>
      <c r="R5" s="16"/>
      <c r="S5" s="16"/>
      <c r="T5" s="17"/>
      <c r="U5" s="16"/>
      <c r="V5" s="16"/>
      <c r="W5" s="16"/>
      <c r="X5" s="18"/>
    </row>
    <row r="6" spans="2:25" x14ac:dyDescent="0.25">
      <c r="C6" s="19"/>
      <c r="I6" s="12"/>
      <c r="J6" s="12"/>
      <c r="K6" s="12"/>
      <c r="L6" s="12"/>
      <c r="M6" s="12"/>
      <c r="N6" s="13"/>
      <c r="O6" s="12"/>
      <c r="P6" s="12"/>
      <c r="Q6" s="12"/>
      <c r="R6" s="12"/>
      <c r="S6" s="12"/>
      <c r="T6" s="13"/>
      <c r="U6" s="12"/>
      <c r="V6" s="12"/>
      <c r="W6" s="12"/>
      <c r="X6" s="12"/>
    </row>
    <row r="7" spans="2:25" x14ac:dyDescent="0.25">
      <c r="B7">
        <v>1</v>
      </c>
      <c r="C7" s="20" t="s">
        <v>15</v>
      </c>
      <c r="D7" s="21">
        <f>25351251+1501625</f>
        <v>26852876</v>
      </c>
      <c r="E7" s="21">
        <f t="shared" ref="E7:E12" si="0">+D7*10%</f>
        <v>2685287.6</v>
      </c>
      <c r="F7" s="21">
        <f>+D7*8.3%</f>
        <v>2228788.7080000001</v>
      </c>
      <c r="G7" s="22">
        <f>+D7+E7</f>
        <v>29538163.600000001</v>
      </c>
      <c r="H7" s="23">
        <f>+G7/12</f>
        <v>2461513.6333333333</v>
      </c>
      <c r="I7" s="24">
        <f>1569947.6+114694.3</f>
        <v>1684641.9000000001</v>
      </c>
      <c r="J7" s="24">
        <f>2641314+137994.48</f>
        <v>2779308.48</v>
      </c>
      <c r="K7" s="24">
        <f>2078291+124194</f>
        <v>2202485</v>
      </c>
      <c r="L7" s="24">
        <f>2101438+126386</f>
        <v>2227824</v>
      </c>
      <c r="M7" s="24">
        <f>1926193+113352</f>
        <v>2039545</v>
      </c>
      <c r="N7" s="25">
        <f>2118600+125944</f>
        <v>2244544</v>
      </c>
      <c r="O7" s="24"/>
      <c r="P7" s="24"/>
      <c r="Q7" s="24"/>
      <c r="R7" s="24"/>
      <c r="S7" s="24"/>
      <c r="T7" s="25"/>
      <c r="U7" s="26">
        <f>SUM(I7:T7)</f>
        <v>13178348.379999999</v>
      </c>
      <c r="V7" s="24">
        <f>+G7</f>
        <v>29538163.600000001</v>
      </c>
      <c r="W7" s="24">
        <f>+V7-U7</f>
        <v>16359815.220000003</v>
      </c>
      <c r="X7" s="24">
        <f t="shared" ref="X7:X12" si="1">+U7/V7%</f>
        <v>44.614650248602452</v>
      </c>
      <c r="Y7" s="1"/>
    </row>
    <row r="8" spans="2:25" x14ac:dyDescent="0.25">
      <c r="B8">
        <v>2</v>
      </c>
      <c r="C8" s="20" t="s">
        <v>16</v>
      </c>
      <c r="D8" s="21">
        <v>27324686.231308401</v>
      </c>
      <c r="E8" s="21">
        <f t="shared" si="0"/>
        <v>2732468.6231308402</v>
      </c>
      <c r="F8" s="21">
        <f t="shared" ref="F8:F12" si="2">+D8*8.3%</f>
        <v>2267948.9571985975</v>
      </c>
      <c r="G8" s="22">
        <f t="shared" ref="G8:G12" si="3">+D8+E8</f>
        <v>30057154.85443924</v>
      </c>
      <c r="H8" s="23">
        <f t="shared" ref="H8:H12" si="4">+G8/12</f>
        <v>2504762.9045366035</v>
      </c>
      <c r="I8" s="24">
        <f>3018083.77+119375.7-64425.37</f>
        <v>3073034.1</v>
      </c>
      <c r="J8" s="24">
        <f>2438136+127379.52</f>
        <v>2565515.52</v>
      </c>
      <c r="K8" s="24">
        <f>2250641+104234</f>
        <v>2354875</v>
      </c>
      <c r="L8" s="24">
        <f>2536220+117590-9050</f>
        <v>2644760</v>
      </c>
      <c r="M8" s="24">
        <f>2592582+119782</f>
        <v>2712364</v>
      </c>
      <c r="N8" s="25">
        <f>2854799+132202</f>
        <v>2987001</v>
      </c>
      <c r="O8" s="24"/>
      <c r="P8" s="24"/>
      <c r="Q8" s="24"/>
      <c r="R8" s="24"/>
      <c r="S8" s="24"/>
      <c r="T8" s="25"/>
      <c r="U8" s="26">
        <f t="shared" ref="U8:U12" si="5">SUM(I8:T8)</f>
        <v>16337549.620000001</v>
      </c>
      <c r="V8" s="24">
        <f t="shared" ref="V8:V12" si="6">+G8</f>
        <v>30057154.85443924</v>
      </c>
      <c r="W8" s="24">
        <f t="shared" ref="W8:W12" si="7">+V8-U8</f>
        <v>13719605.234439239</v>
      </c>
      <c r="X8" s="24">
        <f t="shared" si="1"/>
        <v>54.354943770025706</v>
      </c>
    </row>
    <row r="9" spans="2:25" x14ac:dyDescent="0.25">
      <c r="B9">
        <v>3</v>
      </c>
      <c r="C9" s="20" t="s">
        <v>17</v>
      </c>
      <c r="D9" s="21">
        <v>41885.760000000002</v>
      </c>
      <c r="E9" s="21">
        <f t="shared" si="0"/>
        <v>4188.576</v>
      </c>
      <c r="F9" s="21">
        <f t="shared" si="2"/>
        <v>3476.5180800000003</v>
      </c>
      <c r="G9" s="22">
        <f t="shared" si="3"/>
        <v>46074.336000000003</v>
      </c>
      <c r="H9" s="23">
        <f t="shared" si="4"/>
        <v>3839.5280000000002</v>
      </c>
      <c r="I9" s="24"/>
      <c r="J9" s="24">
        <v>0</v>
      </c>
      <c r="K9" s="24">
        <v>0</v>
      </c>
      <c r="L9" s="24">
        <v>0</v>
      </c>
      <c r="M9" s="24">
        <v>0</v>
      </c>
      <c r="N9" s="25">
        <v>0</v>
      </c>
      <c r="O9" s="24"/>
      <c r="P9" s="24"/>
      <c r="Q9" s="24"/>
      <c r="R9" s="24"/>
      <c r="S9" s="24"/>
      <c r="T9" s="25"/>
      <c r="U9" s="26">
        <f t="shared" si="5"/>
        <v>0</v>
      </c>
      <c r="V9" s="24">
        <f t="shared" si="6"/>
        <v>46074.336000000003</v>
      </c>
      <c r="W9" s="24">
        <f t="shared" si="7"/>
        <v>46074.336000000003</v>
      </c>
      <c r="X9" s="24">
        <f t="shared" si="1"/>
        <v>0</v>
      </c>
    </row>
    <row r="10" spans="2:25" x14ac:dyDescent="0.25">
      <c r="B10">
        <v>4</v>
      </c>
      <c r="C10" s="20" t="s">
        <v>18</v>
      </c>
      <c r="D10" s="21">
        <v>65427.3</v>
      </c>
      <c r="E10" s="21">
        <f t="shared" si="0"/>
        <v>6542.7300000000005</v>
      </c>
      <c r="F10" s="21">
        <f t="shared" si="2"/>
        <v>5430.4659000000001</v>
      </c>
      <c r="G10" s="22">
        <f t="shared" si="3"/>
        <v>71970.03</v>
      </c>
      <c r="H10" s="23">
        <f t="shared" si="4"/>
        <v>5997.5024999999996</v>
      </c>
      <c r="I10" s="24">
        <v>27150</v>
      </c>
      <c r="J10" s="24">
        <v>36200</v>
      </c>
      <c r="K10" s="24">
        <v>0</v>
      </c>
      <c r="L10" s="24">
        <v>0</v>
      </c>
      <c r="M10" s="24">
        <v>58396.67</v>
      </c>
      <c r="N10" s="25">
        <v>-7966</v>
      </c>
      <c r="O10" s="24"/>
      <c r="P10" s="24"/>
      <c r="Q10" s="24"/>
      <c r="R10" s="24"/>
      <c r="S10" s="24"/>
      <c r="T10" s="25"/>
      <c r="U10" s="26">
        <f t="shared" si="5"/>
        <v>113780.67</v>
      </c>
      <c r="V10" s="24">
        <f t="shared" si="6"/>
        <v>71970.03</v>
      </c>
      <c r="W10" s="24">
        <f t="shared" si="7"/>
        <v>-41810.639999999999</v>
      </c>
      <c r="X10" s="24">
        <f t="shared" si="1"/>
        <v>158.09451517527503</v>
      </c>
    </row>
    <row r="11" spans="2:25" x14ac:dyDescent="0.25">
      <c r="B11">
        <v>5</v>
      </c>
      <c r="C11" s="20" t="s">
        <v>19</v>
      </c>
      <c r="D11" s="21">
        <v>490070.71</v>
      </c>
      <c r="E11" s="21">
        <f t="shared" si="0"/>
        <v>49007.071000000004</v>
      </c>
      <c r="F11" s="21">
        <f t="shared" si="2"/>
        <v>40675.868930000004</v>
      </c>
      <c r="G11" s="22">
        <f t="shared" si="3"/>
        <v>539077.78100000008</v>
      </c>
      <c r="H11" s="23">
        <f t="shared" si="4"/>
        <v>44923.148416666671</v>
      </c>
      <c r="I11" s="24">
        <v>0</v>
      </c>
      <c r="J11" s="24">
        <v>0</v>
      </c>
      <c r="K11" s="24">
        <v>18100</v>
      </c>
      <c r="L11" s="24">
        <v>18100</v>
      </c>
      <c r="M11" s="24">
        <v>14615</v>
      </c>
      <c r="N11" s="25">
        <v>72400</v>
      </c>
      <c r="O11" s="24"/>
      <c r="P11" s="24"/>
      <c r="Q11" s="24"/>
      <c r="R11" s="24"/>
      <c r="S11" s="24"/>
      <c r="T11" s="25"/>
      <c r="U11" s="26">
        <f t="shared" si="5"/>
        <v>123215</v>
      </c>
      <c r="V11" s="24">
        <f t="shared" si="6"/>
        <v>539077.78100000008</v>
      </c>
      <c r="W11" s="24">
        <f t="shared" si="7"/>
        <v>415862.78100000008</v>
      </c>
      <c r="X11" s="24">
        <f t="shared" si="1"/>
        <v>22.85662743721949</v>
      </c>
    </row>
    <row r="12" spans="2:25" x14ac:dyDescent="0.25">
      <c r="B12">
        <v>6</v>
      </c>
      <c r="C12" s="27" t="s">
        <v>20</v>
      </c>
      <c r="D12" s="28">
        <v>225054</v>
      </c>
      <c r="E12" s="28">
        <f t="shared" si="0"/>
        <v>22505.4</v>
      </c>
      <c r="F12" s="21">
        <f t="shared" si="2"/>
        <v>18679.482</v>
      </c>
      <c r="G12" s="22">
        <f t="shared" si="3"/>
        <v>247559.4</v>
      </c>
      <c r="H12" s="23">
        <f t="shared" si="4"/>
        <v>20629.95</v>
      </c>
      <c r="I12" s="24">
        <f>8690.97+12380</f>
        <v>21070.97</v>
      </c>
      <c r="J12" s="24">
        <f>8169.9+26420+4525</f>
        <v>39114.9</v>
      </c>
      <c r="K12" s="24">
        <v>19830</v>
      </c>
      <c r="L12" s="24">
        <f>163.09+27875</f>
        <v>28038.09</v>
      </c>
      <c r="M12" s="24">
        <v>27150</v>
      </c>
      <c r="N12" s="25">
        <v>11310</v>
      </c>
      <c r="O12" s="24"/>
      <c r="P12" s="24"/>
      <c r="Q12" s="24"/>
      <c r="R12" s="24"/>
      <c r="S12" s="24"/>
      <c r="T12" s="25"/>
      <c r="U12" s="26">
        <f t="shared" si="5"/>
        <v>146513.96</v>
      </c>
      <c r="V12" s="24">
        <f t="shared" si="6"/>
        <v>247559.4</v>
      </c>
      <c r="W12" s="24">
        <f t="shared" si="7"/>
        <v>101045.44</v>
      </c>
      <c r="X12" s="24">
        <f t="shared" si="1"/>
        <v>59.183355590617843</v>
      </c>
    </row>
    <row r="13" spans="2:25" ht="15.75" thickBot="1" x14ac:dyDescent="0.3">
      <c r="C13" s="29"/>
      <c r="D13" s="30"/>
      <c r="E13" s="30"/>
      <c r="F13" s="30"/>
      <c r="G13" s="30"/>
      <c r="H13" s="30"/>
      <c r="I13" s="12"/>
      <c r="J13" s="12"/>
      <c r="K13" s="12"/>
      <c r="L13" s="12"/>
      <c r="M13" s="12"/>
      <c r="N13" s="13"/>
      <c r="O13" s="12"/>
      <c r="P13" s="12"/>
      <c r="Q13" s="12"/>
      <c r="R13" s="12"/>
      <c r="S13" s="12"/>
      <c r="T13" s="13"/>
      <c r="U13" s="12"/>
      <c r="V13" s="12"/>
      <c r="W13" s="12"/>
      <c r="X13" s="12"/>
    </row>
    <row r="14" spans="2:25" ht="15.75" thickBot="1" x14ac:dyDescent="0.3">
      <c r="C14" s="31" t="s">
        <v>21</v>
      </c>
      <c r="D14" s="32">
        <f>SUM(D7:D12)</f>
        <v>55000000.001308396</v>
      </c>
      <c r="E14" s="32">
        <f>SUM(E7:E13)</f>
        <v>5500000.0001308424</v>
      </c>
      <c r="F14" s="32">
        <f>SUM(F7:F11)</f>
        <v>4546320.518108598</v>
      </c>
      <c r="G14" s="33">
        <f>SUM(G7:G12)</f>
        <v>60500000.001439244</v>
      </c>
      <c r="H14" s="34">
        <f>SUM(H7:H12)</f>
        <v>5041666.6667866036</v>
      </c>
      <c r="I14" s="35">
        <f>SUM(I5:I13)</f>
        <v>4805896.97</v>
      </c>
      <c r="J14" s="35">
        <f t="shared" ref="J14:T14" si="8">SUM(J5:J13)</f>
        <v>5420138.9000000004</v>
      </c>
      <c r="K14" s="35">
        <f t="shared" si="8"/>
        <v>4595290</v>
      </c>
      <c r="L14" s="35">
        <f t="shared" si="8"/>
        <v>4918722.09</v>
      </c>
      <c r="M14" s="35">
        <f t="shared" si="8"/>
        <v>4852070.67</v>
      </c>
      <c r="N14" s="36">
        <f t="shared" si="8"/>
        <v>5307289</v>
      </c>
      <c r="O14" s="35">
        <f t="shared" si="8"/>
        <v>0</v>
      </c>
      <c r="P14" s="35">
        <f t="shared" si="8"/>
        <v>0</v>
      </c>
      <c r="Q14" s="35">
        <f t="shared" si="8"/>
        <v>0</v>
      </c>
      <c r="R14" s="35">
        <f t="shared" si="8"/>
        <v>0</v>
      </c>
      <c r="S14" s="35">
        <f t="shared" si="8"/>
        <v>0</v>
      </c>
      <c r="T14" s="35">
        <f t="shared" si="8"/>
        <v>0</v>
      </c>
      <c r="U14" s="35">
        <f>SUM(U7:U13)</f>
        <v>29899407.630000003</v>
      </c>
      <c r="V14" s="35">
        <f t="shared" ref="V14:W14" si="9">SUM(V7:V13)</f>
        <v>60500000.001439244</v>
      </c>
      <c r="W14" s="35">
        <f t="shared" si="9"/>
        <v>30600592.371439241</v>
      </c>
      <c r="X14" s="35">
        <f>+U14/V14%</f>
        <v>49.420508478163178</v>
      </c>
      <c r="Y14" s="1"/>
    </row>
    <row r="15" spans="2:25" ht="15.75" thickBot="1" x14ac:dyDescent="0.3">
      <c r="D15" s="30"/>
      <c r="E15" s="30"/>
      <c r="F15" s="30"/>
      <c r="G15" s="30"/>
      <c r="H15" s="30"/>
      <c r="I15" s="12"/>
      <c r="J15" s="12"/>
      <c r="K15" s="12"/>
      <c r="L15" s="12"/>
      <c r="M15" s="12"/>
      <c r="N15" s="13"/>
      <c r="O15" s="12"/>
      <c r="P15" s="12"/>
      <c r="Q15" s="12"/>
      <c r="R15" s="12"/>
      <c r="S15" s="12"/>
      <c r="T15" s="13"/>
      <c r="U15" s="12"/>
      <c r="V15" s="12"/>
      <c r="W15" s="12"/>
      <c r="X15" s="12"/>
    </row>
    <row r="16" spans="2:25" ht="15.75" thickBot="1" x14ac:dyDescent="0.3">
      <c r="C16" s="14" t="s">
        <v>22</v>
      </c>
      <c r="D16" s="37"/>
      <c r="E16" s="37"/>
      <c r="F16" s="37"/>
      <c r="G16" s="37"/>
      <c r="H16" s="37"/>
      <c r="I16" s="15"/>
      <c r="J16" s="15"/>
      <c r="K16" s="15"/>
      <c r="L16" s="15"/>
      <c r="M16" s="15"/>
      <c r="N16" s="38"/>
      <c r="O16" s="15"/>
      <c r="P16" s="15"/>
      <c r="Q16" s="15"/>
      <c r="R16" s="15"/>
      <c r="S16" s="15"/>
      <c r="T16" s="15"/>
      <c r="U16" s="15"/>
      <c r="V16" s="15"/>
      <c r="W16" s="15"/>
      <c r="X16" s="39"/>
    </row>
    <row r="17" spans="3:25" x14ac:dyDescent="0.25">
      <c r="D17" s="30"/>
      <c r="E17" s="30"/>
      <c r="F17" s="30"/>
      <c r="G17" s="30"/>
      <c r="H17" s="30"/>
      <c r="I17" s="12"/>
      <c r="J17" s="12"/>
      <c r="K17" s="12"/>
      <c r="L17" s="12"/>
      <c r="M17" s="12"/>
      <c r="N17" s="13"/>
      <c r="O17" s="12"/>
      <c r="P17" s="12"/>
      <c r="Q17" s="12"/>
      <c r="R17" s="12"/>
      <c r="S17" s="12"/>
      <c r="T17" s="13"/>
      <c r="U17" s="12"/>
      <c r="V17" s="12"/>
      <c r="W17" s="12"/>
      <c r="X17" s="12"/>
    </row>
    <row r="18" spans="3:25" x14ac:dyDescent="0.25">
      <c r="C18" s="40" t="s">
        <v>23</v>
      </c>
      <c r="D18" s="28">
        <v>111840</v>
      </c>
      <c r="E18" s="28">
        <f>+D18*10%</f>
        <v>11184</v>
      </c>
      <c r="F18" s="28">
        <f>+D18*8.3%</f>
        <v>9282.7200000000012</v>
      </c>
      <c r="G18" s="22">
        <f>+D18+F18</f>
        <v>121122.72</v>
      </c>
      <c r="H18" s="23">
        <f>+G18/12</f>
        <v>10093.56</v>
      </c>
      <c r="I18" s="24">
        <v>0</v>
      </c>
      <c r="J18" s="24">
        <v>0</v>
      </c>
      <c r="K18" s="24">
        <v>0</v>
      </c>
      <c r="L18" s="24">
        <v>0</v>
      </c>
      <c r="M18" s="41">
        <v>0</v>
      </c>
      <c r="N18" s="25">
        <v>0</v>
      </c>
      <c r="O18" s="24"/>
      <c r="P18" s="24"/>
      <c r="Q18" s="24"/>
      <c r="R18" s="24"/>
      <c r="S18" s="24"/>
      <c r="T18" s="25"/>
      <c r="U18" s="26">
        <f t="shared" ref="U18:U32" si="10">SUM(I18:T18)</f>
        <v>0</v>
      </c>
      <c r="V18" s="24">
        <f t="shared" ref="V18:V32" si="11">+G18</f>
        <v>121122.72</v>
      </c>
      <c r="W18" s="24">
        <f t="shared" ref="W18:W32" si="12">+V18-U18</f>
        <v>121122.72</v>
      </c>
      <c r="X18" s="24">
        <f t="shared" ref="X18:X32" si="13">+U18/V18%</f>
        <v>0</v>
      </c>
    </row>
    <row r="19" spans="3:25" x14ac:dyDescent="0.25">
      <c r="C19" s="40" t="s">
        <v>24</v>
      </c>
      <c r="D19" s="28">
        <f>2404831.97+2176041.56</f>
        <v>4580873.53</v>
      </c>
      <c r="E19" s="28">
        <f t="shared" ref="E19:E32" si="14">+D19*10%</f>
        <v>458087.35300000006</v>
      </c>
      <c r="F19" s="28">
        <f t="shared" ref="F19:F32" si="15">+D19*8.3%</f>
        <v>380212.50299000007</v>
      </c>
      <c r="G19" s="22">
        <f t="shared" ref="G19:G32" si="16">+D19+E19</f>
        <v>5038960.8830000004</v>
      </c>
      <c r="H19" s="23">
        <f t="shared" ref="H19:H32" si="17">+G19/12</f>
        <v>419913.40691666672</v>
      </c>
      <c r="I19" s="24">
        <v>0</v>
      </c>
      <c r="J19" s="24">
        <v>0</v>
      </c>
      <c r="K19" s="24">
        <v>0</v>
      </c>
      <c r="L19" s="24">
        <v>0</v>
      </c>
      <c r="M19" s="41">
        <v>0</v>
      </c>
      <c r="N19" s="25">
        <v>0</v>
      </c>
      <c r="O19" s="24"/>
      <c r="P19" s="24"/>
      <c r="Q19" s="24"/>
      <c r="R19" s="24"/>
      <c r="S19" s="24"/>
      <c r="T19" s="25"/>
      <c r="U19" s="26">
        <f t="shared" si="10"/>
        <v>0</v>
      </c>
      <c r="V19" s="24">
        <f t="shared" si="11"/>
        <v>5038960.8830000004</v>
      </c>
      <c r="W19" s="24">
        <f t="shared" si="12"/>
        <v>5038960.8830000004</v>
      </c>
      <c r="X19" s="24">
        <f t="shared" si="13"/>
        <v>0</v>
      </c>
      <c r="Y19" s="1"/>
    </row>
    <row r="20" spans="3:25" x14ac:dyDescent="0.25">
      <c r="C20" s="40" t="s">
        <v>25</v>
      </c>
      <c r="D20" s="28">
        <f>6944885.47+5691537.65+813005+326528.94+1661897.7+58347.45+557818.57</f>
        <v>16054020.779999999</v>
      </c>
      <c r="E20" s="28">
        <f t="shared" si="14"/>
        <v>1605402.078</v>
      </c>
      <c r="F20" s="28">
        <f t="shared" si="15"/>
        <v>1332483.72474</v>
      </c>
      <c r="G20" s="22">
        <f t="shared" si="16"/>
        <v>17659422.857999999</v>
      </c>
      <c r="H20" s="23">
        <f t="shared" si="17"/>
        <v>1471618.5714999998</v>
      </c>
      <c r="I20" s="24">
        <v>0</v>
      </c>
      <c r="J20" s="24">
        <v>0</v>
      </c>
      <c r="K20" s="24">
        <v>0</v>
      </c>
      <c r="L20" s="24">
        <v>0</v>
      </c>
      <c r="M20" s="41">
        <v>0</v>
      </c>
      <c r="N20" s="25">
        <v>0</v>
      </c>
      <c r="O20" s="24"/>
      <c r="P20" s="24"/>
      <c r="Q20" s="24"/>
      <c r="R20" s="24"/>
      <c r="S20" s="24"/>
      <c r="T20" s="25"/>
      <c r="U20" s="26">
        <f t="shared" si="10"/>
        <v>0</v>
      </c>
      <c r="V20" s="24">
        <f t="shared" si="11"/>
        <v>17659422.857999999</v>
      </c>
      <c r="W20" s="24">
        <f t="shared" si="12"/>
        <v>17659422.857999999</v>
      </c>
      <c r="X20" s="24">
        <f t="shared" si="13"/>
        <v>0</v>
      </c>
    </row>
    <row r="21" spans="3:25" x14ac:dyDescent="0.25">
      <c r="C21" s="40" t="s">
        <v>26</v>
      </c>
      <c r="D21" s="28">
        <f>1476951.11+24048.04</f>
        <v>1500999.1500000001</v>
      </c>
      <c r="E21" s="28">
        <f t="shared" si="14"/>
        <v>150099.91500000001</v>
      </c>
      <c r="F21" s="28">
        <f t="shared" si="15"/>
        <v>124582.92945000003</v>
      </c>
      <c r="G21" s="22">
        <f t="shared" si="16"/>
        <v>1651099.0650000002</v>
      </c>
      <c r="H21" s="23">
        <f t="shared" si="17"/>
        <v>137591.58875000002</v>
      </c>
      <c r="I21" s="24">
        <v>0</v>
      </c>
      <c r="J21" s="24">
        <v>0</v>
      </c>
      <c r="K21" s="24">
        <v>0</v>
      </c>
      <c r="L21" s="24">
        <v>0</v>
      </c>
      <c r="M21" s="41">
        <v>0</v>
      </c>
      <c r="N21" s="25">
        <v>0</v>
      </c>
      <c r="O21" s="24"/>
      <c r="P21" s="24"/>
      <c r="Q21" s="24"/>
      <c r="R21" s="24"/>
      <c r="S21" s="24"/>
      <c r="T21" s="25"/>
      <c r="U21" s="26">
        <f t="shared" si="10"/>
        <v>0</v>
      </c>
      <c r="V21" s="24">
        <f t="shared" si="11"/>
        <v>1651099.0650000002</v>
      </c>
      <c r="W21" s="24">
        <f t="shared" si="12"/>
        <v>1651099.0650000002</v>
      </c>
      <c r="X21" s="24">
        <f t="shared" si="13"/>
        <v>0</v>
      </c>
    </row>
    <row r="22" spans="3:25" x14ac:dyDescent="0.25">
      <c r="C22" s="40" t="s">
        <v>27</v>
      </c>
      <c r="D22" s="28">
        <v>412804.19</v>
      </c>
      <c r="E22" s="28">
        <f t="shared" si="14"/>
        <v>41280.419000000002</v>
      </c>
      <c r="F22" s="28">
        <f t="shared" si="15"/>
        <v>34262.747770000002</v>
      </c>
      <c r="G22" s="22">
        <f t="shared" si="16"/>
        <v>454084.609</v>
      </c>
      <c r="H22" s="23">
        <f t="shared" si="17"/>
        <v>37840.384083333331</v>
      </c>
      <c r="I22" s="24">
        <v>0</v>
      </c>
      <c r="J22" s="24">
        <v>0</v>
      </c>
      <c r="K22" s="24">
        <v>0</v>
      </c>
      <c r="L22" s="24">
        <v>0</v>
      </c>
      <c r="M22" s="41">
        <v>0</v>
      </c>
      <c r="N22" s="25">
        <v>0</v>
      </c>
      <c r="O22" s="24"/>
      <c r="P22" s="24"/>
      <c r="Q22" s="24"/>
      <c r="R22" s="24"/>
      <c r="S22" s="24"/>
      <c r="T22" s="25"/>
      <c r="U22" s="26">
        <f t="shared" si="10"/>
        <v>0</v>
      </c>
      <c r="V22" s="24">
        <f t="shared" si="11"/>
        <v>454084.609</v>
      </c>
      <c r="W22" s="24">
        <f t="shared" si="12"/>
        <v>454084.609</v>
      </c>
      <c r="X22" s="24">
        <f t="shared" si="13"/>
        <v>0</v>
      </c>
    </row>
    <row r="23" spans="3:25" x14ac:dyDescent="0.25">
      <c r="C23" s="40" t="s">
        <v>28</v>
      </c>
      <c r="D23" s="28">
        <f>226000+930000+506425+360000+480595.56+1139320+1100000</f>
        <v>4742340.5600000005</v>
      </c>
      <c r="E23" s="28">
        <f t="shared" si="14"/>
        <v>474234.0560000001</v>
      </c>
      <c r="F23" s="28">
        <f t="shared" si="15"/>
        <v>393614.26648000005</v>
      </c>
      <c r="G23" s="22">
        <f t="shared" si="16"/>
        <v>5216574.6160000004</v>
      </c>
      <c r="H23" s="23">
        <f t="shared" si="17"/>
        <v>434714.55133333337</v>
      </c>
      <c r="I23" s="24">
        <v>0</v>
      </c>
      <c r="J23" s="24">
        <v>0</v>
      </c>
      <c r="K23" s="24">
        <v>0</v>
      </c>
      <c r="L23" s="24">
        <v>0</v>
      </c>
      <c r="M23" s="41">
        <v>0</v>
      </c>
      <c r="N23" s="25">
        <v>0</v>
      </c>
      <c r="O23" s="24"/>
      <c r="P23" s="24"/>
      <c r="Q23" s="24"/>
      <c r="R23" s="24"/>
      <c r="S23" s="24"/>
      <c r="T23" s="25"/>
      <c r="U23" s="26">
        <f t="shared" si="10"/>
        <v>0</v>
      </c>
      <c r="V23" s="24">
        <f t="shared" si="11"/>
        <v>5216574.6160000004</v>
      </c>
      <c r="W23" s="24">
        <f t="shared" si="12"/>
        <v>5216574.6160000004</v>
      </c>
      <c r="X23" s="24">
        <f t="shared" si="13"/>
        <v>0</v>
      </c>
    </row>
    <row r="24" spans="3:25" x14ac:dyDescent="0.25">
      <c r="C24" s="40" t="s">
        <v>29</v>
      </c>
      <c r="D24" s="28">
        <f>694653.06+1012041.56</f>
        <v>1706694.62</v>
      </c>
      <c r="E24" s="28">
        <f t="shared" si="14"/>
        <v>170669.46200000003</v>
      </c>
      <c r="F24" s="28">
        <f t="shared" si="15"/>
        <v>141655.65346000003</v>
      </c>
      <c r="G24" s="22">
        <f t="shared" si="16"/>
        <v>1877364.0820000002</v>
      </c>
      <c r="H24" s="23">
        <f t="shared" si="17"/>
        <v>156447.00683333335</v>
      </c>
      <c r="I24" s="24">
        <v>0</v>
      </c>
      <c r="J24" s="24">
        <v>0</v>
      </c>
      <c r="K24" s="24">
        <v>0</v>
      </c>
      <c r="L24" s="24">
        <v>0</v>
      </c>
      <c r="M24" s="41">
        <v>0</v>
      </c>
      <c r="N24" s="25">
        <v>0</v>
      </c>
      <c r="O24" s="24"/>
      <c r="P24" s="24"/>
      <c r="Q24" s="24"/>
      <c r="R24" s="24"/>
      <c r="S24" s="24"/>
      <c r="T24" s="25"/>
      <c r="U24" s="26">
        <f t="shared" si="10"/>
        <v>0</v>
      </c>
      <c r="V24" s="24">
        <f t="shared" si="11"/>
        <v>1877364.0820000002</v>
      </c>
      <c r="W24" s="24">
        <f t="shared" si="12"/>
        <v>1877364.0820000002</v>
      </c>
      <c r="X24" s="24">
        <f t="shared" si="13"/>
        <v>0</v>
      </c>
    </row>
    <row r="25" spans="3:25" x14ac:dyDescent="0.25">
      <c r="C25" s="40" t="s">
        <v>30</v>
      </c>
      <c r="D25" s="28">
        <f>368000*12</f>
        <v>4416000</v>
      </c>
      <c r="E25" s="28">
        <f t="shared" si="14"/>
        <v>441600</v>
      </c>
      <c r="F25" s="28">
        <f t="shared" si="15"/>
        <v>366528</v>
      </c>
      <c r="G25" s="22">
        <f t="shared" si="16"/>
        <v>4857600</v>
      </c>
      <c r="H25" s="23">
        <f t="shared" si="17"/>
        <v>404800</v>
      </c>
      <c r="I25" s="24">
        <v>0</v>
      </c>
      <c r="J25" s="24">
        <v>0</v>
      </c>
      <c r="K25" s="24">
        <v>0</v>
      </c>
      <c r="L25" s="24">
        <v>0</v>
      </c>
      <c r="M25" s="41">
        <v>0</v>
      </c>
      <c r="N25" s="25">
        <v>0</v>
      </c>
      <c r="O25" s="24"/>
      <c r="P25" s="24"/>
      <c r="Q25" s="24"/>
      <c r="R25" s="24"/>
      <c r="S25" s="24"/>
      <c r="T25" s="25"/>
      <c r="U25" s="26">
        <f t="shared" si="10"/>
        <v>0</v>
      </c>
      <c r="V25" s="24">
        <f t="shared" si="11"/>
        <v>4857600</v>
      </c>
      <c r="W25" s="24">
        <f t="shared" si="12"/>
        <v>4857600</v>
      </c>
      <c r="X25" s="24">
        <f t="shared" si="13"/>
        <v>0</v>
      </c>
    </row>
    <row r="26" spans="3:25" x14ac:dyDescent="0.25">
      <c r="C26" s="40" t="s">
        <v>31</v>
      </c>
      <c r="D26" s="28">
        <v>710000</v>
      </c>
      <c r="E26" s="28">
        <f t="shared" si="14"/>
        <v>71000</v>
      </c>
      <c r="F26" s="28">
        <f t="shared" si="15"/>
        <v>58930</v>
      </c>
      <c r="G26" s="22">
        <f t="shared" si="16"/>
        <v>781000</v>
      </c>
      <c r="H26" s="23">
        <f t="shared" si="17"/>
        <v>65083.333333333336</v>
      </c>
      <c r="I26" s="24">
        <v>0</v>
      </c>
      <c r="J26" s="24">
        <v>0</v>
      </c>
      <c r="K26" s="24">
        <v>0</v>
      </c>
      <c r="L26" s="24">
        <v>0</v>
      </c>
      <c r="M26" s="41">
        <v>0</v>
      </c>
      <c r="N26" s="25">
        <v>0</v>
      </c>
      <c r="O26" s="24"/>
      <c r="P26" s="24"/>
      <c r="Q26" s="24"/>
      <c r="R26" s="24"/>
      <c r="S26" s="24"/>
      <c r="T26" s="25"/>
      <c r="U26" s="26">
        <f t="shared" si="10"/>
        <v>0</v>
      </c>
      <c r="V26" s="24">
        <f t="shared" si="11"/>
        <v>781000</v>
      </c>
      <c r="W26" s="24">
        <f t="shared" si="12"/>
        <v>781000</v>
      </c>
      <c r="X26" s="24">
        <f t="shared" si="13"/>
        <v>0</v>
      </c>
    </row>
    <row r="27" spans="3:25" x14ac:dyDescent="0.25">
      <c r="C27" s="40" t="s">
        <v>32</v>
      </c>
      <c r="D27" s="28">
        <f>115000+662406.48+18695.11</f>
        <v>796101.59</v>
      </c>
      <c r="E27" s="28">
        <f t="shared" si="14"/>
        <v>79610.159</v>
      </c>
      <c r="F27" s="28">
        <f t="shared" si="15"/>
        <v>66076.431970000005</v>
      </c>
      <c r="G27" s="22">
        <f t="shared" si="16"/>
        <v>875711.74899999995</v>
      </c>
      <c r="H27" s="23">
        <f t="shared" si="17"/>
        <v>72975.979083333325</v>
      </c>
      <c r="I27" s="24">
        <v>0</v>
      </c>
      <c r="J27" s="24">
        <v>0</v>
      </c>
      <c r="K27" s="24">
        <v>0</v>
      </c>
      <c r="L27" s="24">
        <v>0</v>
      </c>
      <c r="M27" s="41">
        <v>0</v>
      </c>
      <c r="N27" s="25">
        <v>0</v>
      </c>
      <c r="O27" s="24"/>
      <c r="P27" s="24"/>
      <c r="Q27" s="24"/>
      <c r="R27" s="24"/>
      <c r="S27" s="24"/>
      <c r="T27" s="25"/>
      <c r="U27" s="26">
        <f t="shared" si="10"/>
        <v>0</v>
      </c>
      <c r="V27" s="24">
        <f t="shared" si="11"/>
        <v>875711.74899999995</v>
      </c>
      <c r="W27" s="24">
        <f t="shared" si="12"/>
        <v>875711.74899999995</v>
      </c>
      <c r="X27" s="24">
        <f t="shared" si="13"/>
        <v>0</v>
      </c>
    </row>
    <row r="28" spans="3:25" x14ac:dyDescent="0.25">
      <c r="C28" s="40" t="s">
        <v>33</v>
      </c>
      <c r="D28" s="28">
        <v>269982.14</v>
      </c>
      <c r="E28" s="28">
        <f t="shared" si="14"/>
        <v>26998.214000000004</v>
      </c>
      <c r="F28" s="28">
        <f t="shared" si="15"/>
        <v>22408.517620000002</v>
      </c>
      <c r="G28" s="22">
        <f t="shared" si="16"/>
        <v>296980.35399999999</v>
      </c>
      <c r="H28" s="23">
        <f t="shared" si="17"/>
        <v>24748.362833333333</v>
      </c>
      <c r="I28" s="24">
        <v>0</v>
      </c>
      <c r="J28" s="24">
        <v>0</v>
      </c>
      <c r="K28" s="24">
        <v>0</v>
      </c>
      <c r="L28" s="24">
        <v>0</v>
      </c>
      <c r="M28" s="41">
        <v>0</v>
      </c>
      <c r="N28" s="25">
        <v>0</v>
      </c>
      <c r="O28" s="24"/>
      <c r="P28" s="24"/>
      <c r="Q28" s="24"/>
      <c r="R28" s="24"/>
      <c r="S28" s="24"/>
      <c r="T28" s="25"/>
      <c r="U28" s="26">
        <f t="shared" si="10"/>
        <v>0</v>
      </c>
      <c r="V28" s="24">
        <f t="shared" si="11"/>
        <v>296980.35399999999</v>
      </c>
      <c r="W28" s="24">
        <f t="shared" si="12"/>
        <v>296980.35399999999</v>
      </c>
      <c r="X28" s="24">
        <f t="shared" si="13"/>
        <v>0</v>
      </c>
    </row>
    <row r="29" spans="3:25" x14ac:dyDescent="0.25">
      <c r="C29" s="40" t="s">
        <v>34</v>
      </c>
      <c r="D29" s="28">
        <v>12000</v>
      </c>
      <c r="E29" s="28">
        <f t="shared" si="14"/>
        <v>1200</v>
      </c>
      <c r="F29" s="28">
        <f t="shared" si="15"/>
        <v>996</v>
      </c>
      <c r="G29" s="22">
        <f t="shared" si="16"/>
        <v>13200</v>
      </c>
      <c r="H29" s="23">
        <f t="shared" si="17"/>
        <v>1100</v>
      </c>
      <c r="I29" s="24">
        <v>0</v>
      </c>
      <c r="J29" s="24">
        <v>0</v>
      </c>
      <c r="K29" s="24">
        <v>0</v>
      </c>
      <c r="L29" s="24">
        <v>0</v>
      </c>
      <c r="M29" s="41">
        <v>0</v>
      </c>
      <c r="N29" s="25">
        <v>0</v>
      </c>
      <c r="O29" s="24"/>
      <c r="P29" s="24"/>
      <c r="Q29" s="24"/>
      <c r="R29" s="24"/>
      <c r="S29" s="24"/>
      <c r="T29" s="25"/>
      <c r="U29" s="26">
        <f t="shared" si="10"/>
        <v>0</v>
      </c>
      <c r="V29" s="24">
        <f t="shared" si="11"/>
        <v>13200</v>
      </c>
      <c r="W29" s="24">
        <f t="shared" si="12"/>
        <v>13200</v>
      </c>
      <c r="X29" s="24">
        <f t="shared" si="13"/>
        <v>0</v>
      </c>
    </row>
    <row r="30" spans="3:25" x14ac:dyDescent="0.25">
      <c r="C30" s="40" t="s">
        <v>35</v>
      </c>
      <c r="D30" s="28">
        <v>219644</v>
      </c>
      <c r="E30" s="28">
        <f t="shared" si="14"/>
        <v>21964.400000000001</v>
      </c>
      <c r="F30" s="28">
        <f t="shared" si="15"/>
        <v>18230.452000000001</v>
      </c>
      <c r="G30" s="22">
        <f t="shared" si="16"/>
        <v>241608.4</v>
      </c>
      <c r="H30" s="23">
        <f t="shared" si="17"/>
        <v>20134.033333333333</v>
      </c>
      <c r="I30" s="24">
        <v>0</v>
      </c>
      <c r="J30" s="24">
        <v>0</v>
      </c>
      <c r="K30" s="24">
        <v>0</v>
      </c>
      <c r="L30" s="24">
        <v>0</v>
      </c>
      <c r="M30" s="41">
        <v>0</v>
      </c>
      <c r="N30" s="25">
        <v>0</v>
      </c>
      <c r="O30" s="24"/>
      <c r="P30" s="24"/>
      <c r="Q30" s="24"/>
      <c r="R30" s="24"/>
      <c r="S30" s="24"/>
      <c r="T30" s="25"/>
      <c r="U30" s="26">
        <f t="shared" si="10"/>
        <v>0</v>
      </c>
      <c r="V30" s="24">
        <f t="shared" si="11"/>
        <v>241608.4</v>
      </c>
      <c r="W30" s="24">
        <f t="shared" si="12"/>
        <v>241608.4</v>
      </c>
      <c r="X30" s="24">
        <f t="shared" si="13"/>
        <v>0</v>
      </c>
    </row>
    <row r="31" spans="3:25" x14ac:dyDescent="0.25">
      <c r="C31" s="40" t="s">
        <v>36</v>
      </c>
      <c r="D31" s="28">
        <v>1000000</v>
      </c>
      <c r="E31" s="28">
        <f t="shared" si="14"/>
        <v>100000</v>
      </c>
      <c r="F31" s="28">
        <f t="shared" si="15"/>
        <v>83000</v>
      </c>
      <c r="G31" s="22">
        <f t="shared" si="16"/>
        <v>1100000</v>
      </c>
      <c r="H31" s="23">
        <f t="shared" si="17"/>
        <v>91666.666666666672</v>
      </c>
      <c r="I31" s="24">
        <v>0</v>
      </c>
      <c r="J31" s="24">
        <v>0</v>
      </c>
      <c r="K31" s="24">
        <v>0</v>
      </c>
      <c r="L31" s="24">
        <v>0</v>
      </c>
      <c r="M31" s="41">
        <v>0</v>
      </c>
      <c r="N31" s="25">
        <v>0</v>
      </c>
      <c r="O31" s="24"/>
      <c r="P31" s="24"/>
      <c r="Q31" s="24"/>
      <c r="R31" s="24"/>
      <c r="S31" s="24"/>
      <c r="T31" s="25"/>
      <c r="U31" s="26">
        <f t="shared" si="10"/>
        <v>0</v>
      </c>
      <c r="V31" s="24">
        <f t="shared" si="11"/>
        <v>1100000</v>
      </c>
      <c r="W31" s="24">
        <f t="shared" si="12"/>
        <v>1100000</v>
      </c>
      <c r="X31" s="24">
        <f t="shared" si="13"/>
        <v>0</v>
      </c>
    </row>
    <row r="32" spans="3:25" ht="15.75" thickBot="1" x14ac:dyDescent="0.3">
      <c r="C32" s="40" t="s">
        <v>37</v>
      </c>
      <c r="D32" s="28">
        <f>8661.14+292412+326528.94</f>
        <v>627602.08000000007</v>
      </c>
      <c r="E32" s="28">
        <f t="shared" si="14"/>
        <v>62760.208000000013</v>
      </c>
      <c r="F32" s="28">
        <f t="shared" si="15"/>
        <v>52090.972640000007</v>
      </c>
      <c r="G32" s="42">
        <f t="shared" si="16"/>
        <v>690362.28800000006</v>
      </c>
      <c r="H32" s="43">
        <f t="shared" si="17"/>
        <v>57530.190666666669</v>
      </c>
      <c r="I32" s="24">
        <v>0</v>
      </c>
      <c r="J32" s="24">
        <v>0</v>
      </c>
      <c r="K32" s="24">
        <v>0</v>
      </c>
      <c r="L32" s="24">
        <v>0</v>
      </c>
      <c r="M32" s="44">
        <v>0</v>
      </c>
      <c r="N32" s="45">
        <v>0</v>
      </c>
      <c r="O32" s="24"/>
      <c r="P32" s="24"/>
      <c r="Q32" s="24"/>
      <c r="R32" s="24"/>
      <c r="S32" s="24"/>
      <c r="T32" s="25"/>
      <c r="U32" s="26">
        <f t="shared" si="10"/>
        <v>0</v>
      </c>
      <c r="V32" s="24">
        <f t="shared" si="11"/>
        <v>690362.28800000006</v>
      </c>
      <c r="W32" s="24">
        <f t="shared" si="12"/>
        <v>690362.28800000006</v>
      </c>
      <c r="X32" s="24">
        <f t="shared" si="13"/>
        <v>0</v>
      </c>
    </row>
    <row r="33" spans="3:24" ht="15.75" thickBot="1" x14ac:dyDescent="0.3">
      <c r="C33" s="31" t="s">
        <v>38</v>
      </c>
      <c r="D33" s="46">
        <f t="shared" ref="D33:T33" si="18">SUM(D18:D32)</f>
        <v>37160902.640000001</v>
      </c>
      <c r="E33" s="46">
        <f t="shared" si="18"/>
        <v>3716090.2640000004</v>
      </c>
      <c r="F33" s="46">
        <f t="shared" si="18"/>
        <v>3084354.9191200002</v>
      </c>
      <c r="G33" s="46">
        <f t="shared" si="18"/>
        <v>40875091.624000005</v>
      </c>
      <c r="H33" s="46">
        <f t="shared" si="18"/>
        <v>3406257.6353333332</v>
      </c>
      <c r="I33" s="47">
        <f t="shared" si="18"/>
        <v>0</v>
      </c>
      <c r="J33" s="47">
        <f t="shared" si="18"/>
        <v>0</v>
      </c>
      <c r="K33" s="47">
        <f t="shared" si="18"/>
        <v>0</v>
      </c>
      <c r="L33" s="47">
        <f t="shared" si="18"/>
        <v>0</v>
      </c>
      <c r="M33" s="47">
        <f t="shared" si="18"/>
        <v>0</v>
      </c>
      <c r="N33" s="47">
        <f t="shared" si="18"/>
        <v>0</v>
      </c>
      <c r="O33" s="48">
        <f t="shared" si="18"/>
        <v>0</v>
      </c>
      <c r="P33" s="47">
        <f t="shared" si="18"/>
        <v>0</v>
      </c>
      <c r="Q33" s="47">
        <f t="shared" si="18"/>
        <v>0</v>
      </c>
      <c r="R33" s="47">
        <f t="shared" si="18"/>
        <v>0</v>
      </c>
      <c r="S33" s="47">
        <f t="shared" si="18"/>
        <v>0</v>
      </c>
      <c r="T33" s="47">
        <f t="shared" si="18"/>
        <v>0</v>
      </c>
      <c r="U33" s="49"/>
      <c r="V33" s="50">
        <f>SUM(V18:V32)</f>
        <v>40875091.624000005</v>
      </c>
      <c r="W33" s="50">
        <f>SUM(W18:W32)</f>
        <v>40875091.624000005</v>
      </c>
      <c r="X33" s="51"/>
    </row>
    <row r="34" spans="3:24" x14ac:dyDescent="0.25">
      <c r="D34" s="30"/>
      <c r="E34" s="30"/>
      <c r="F34" s="30"/>
      <c r="G34" s="30"/>
      <c r="H34" s="30"/>
      <c r="I34" s="12"/>
      <c r="J34" s="12"/>
      <c r="K34" s="12"/>
      <c r="L34" s="12"/>
      <c r="M34" s="12"/>
      <c r="N34" s="13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3:24" ht="15.75" thickBot="1" x14ac:dyDescent="0.3">
      <c r="C35" s="52" t="s">
        <v>39</v>
      </c>
      <c r="D35" s="53">
        <f>+D14-D33</f>
        <v>17839097.361308396</v>
      </c>
      <c r="E35" s="53">
        <f>+E14-E33</f>
        <v>1783909.736130842</v>
      </c>
      <c r="F35" s="53">
        <f t="shared" ref="F35:T35" si="19">+F14-F33</f>
        <v>1461965.5989885977</v>
      </c>
      <c r="G35" s="53">
        <f t="shared" si="19"/>
        <v>19624908.377439238</v>
      </c>
      <c r="H35" s="54">
        <f>+G35/12</f>
        <v>1635409.0314532698</v>
      </c>
      <c r="I35" s="53">
        <f t="shared" si="19"/>
        <v>4805896.97</v>
      </c>
      <c r="J35" s="53">
        <f t="shared" si="19"/>
        <v>5420138.9000000004</v>
      </c>
      <c r="K35" s="53">
        <f t="shared" si="19"/>
        <v>4595290</v>
      </c>
      <c r="L35" s="53">
        <f t="shared" si="19"/>
        <v>4918722.09</v>
      </c>
      <c r="M35" s="53">
        <f t="shared" si="19"/>
        <v>4852070.67</v>
      </c>
      <c r="N35" s="53">
        <f t="shared" si="19"/>
        <v>5307289</v>
      </c>
      <c r="O35" s="53">
        <f t="shared" si="19"/>
        <v>0</v>
      </c>
      <c r="P35" s="53">
        <f t="shared" si="19"/>
        <v>0</v>
      </c>
      <c r="Q35" s="53">
        <f t="shared" si="19"/>
        <v>0</v>
      </c>
      <c r="R35" s="53">
        <f t="shared" si="19"/>
        <v>0</v>
      </c>
      <c r="S35" s="53">
        <f t="shared" si="19"/>
        <v>0</v>
      </c>
      <c r="T35" s="53">
        <f t="shared" si="19"/>
        <v>0</v>
      </c>
      <c r="U35" s="55"/>
      <c r="V35" s="55"/>
      <c r="W35" s="55"/>
      <c r="X35" s="55"/>
    </row>
    <row r="36" spans="3:24" ht="15.75" thickTop="1" x14ac:dyDescent="0.25">
      <c r="C36" s="40"/>
      <c r="D36" s="28"/>
      <c r="E36" s="28"/>
      <c r="F36" s="28"/>
      <c r="G36" s="56"/>
      <c r="H36" s="57"/>
      <c r="I36" s="24"/>
      <c r="J36" s="24"/>
      <c r="K36" s="24"/>
      <c r="L36" s="24"/>
      <c r="M36" s="24"/>
      <c r="N36" s="25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3:24" x14ac:dyDescent="0.25">
      <c r="C37" s="40" t="s">
        <v>40</v>
      </c>
      <c r="D37" s="28"/>
      <c r="E37" s="28"/>
      <c r="F37" s="28"/>
      <c r="G37" s="56"/>
      <c r="H37" s="40" t="s">
        <v>40</v>
      </c>
      <c r="I37" s="24">
        <v>15719302.220000001</v>
      </c>
      <c r="J37" s="24">
        <f>+I38</f>
        <v>20525199.190000001</v>
      </c>
      <c r="K37" s="24">
        <f t="shared" ref="K37:T37" si="20">+J38</f>
        <v>25945338.090000004</v>
      </c>
      <c r="L37" s="24">
        <f t="shared" si="20"/>
        <v>30540628.090000004</v>
      </c>
      <c r="M37" s="24">
        <f t="shared" si="20"/>
        <v>35459350.180000007</v>
      </c>
      <c r="N37" s="25">
        <f t="shared" si="20"/>
        <v>40311420.850000009</v>
      </c>
      <c r="O37" s="24">
        <f t="shared" si="20"/>
        <v>45618709.850000009</v>
      </c>
      <c r="P37" s="24">
        <f t="shared" si="20"/>
        <v>45618709.850000009</v>
      </c>
      <c r="Q37" s="24">
        <f t="shared" si="20"/>
        <v>45618709.850000009</v>
      </c>
      <c r="R37" s="24">
        <f t="shared" si="20"/>
        <v>45618709.850000009</v>
      </c>
      <c r="S37" s="24">
        <f t="shared" si="20"/>
        <v>45618709.850000009</v>
      </c>
      <c r="T37" s="24">
        <f t="shared" si="20"/>
        <v>45618709.850000009</v>
      </c>
      <c r="U37" s="24"/>
      <c r="V37" s="24"/>
      <c r="W37" s="24"/>
      <c r="X37" s="24"/>
    </row>
    <row r="38" spans="3:24" x14ac:dyDescent="0.25">
      <c r="C38" s="40" t="s">
        <v>41</v>
      </c>
      <c r="D38" s="28"/>
      <c r="E38" s="28"/>
      <c r="F38" s="28"/>
      <c r="G38" s="56"/>
      <c r="H38" s="40" t="s">
        <v>41</v>
      </c>
      <c r="I38" s="24">
        <f>+I14-I33+I37</f>
        <v>20525199.190000001</v>
      </c>
      <c r="J38" s="24">
        <f t="shared" ref="J38:T38" si="21">(+J14-J33)+J37</f>
        <v>25945338.090000004</v>
      </c>
      <c r="K38" s="24">
        <f t="shared" si="21"/>
        <v>30540628.090000004</v>
      </c>
      <c r="L38" s="24">
        <f t="shared" si="21"/>
        <v>35459350.180000007</v>
      </c>
      <c r="M38" s="24">
        <f t="shared" si="21"/>
        <v>40311420.850000009</v>
      </c>
      <c r="N38" s="25">
        <f t="shared" si="21"/>
        <v>45618709.850000009</v>
      </c>
      <c r="O38" s="24">
        <f t="shared" si="21"/>
        <v>45618709.850000009</v>
      </c>
      <c r="P38" s="24">
        <f t="shared" si="21"/>
        <v>45618709.850000009</v>
      </c>
      <c r="Q38" s="24">
        <f t="shared" si="21"/>
        <v>45618709.850000009</v>
      </c>
      <c r="R38" s="24">
        <f t="shared" si="21"/>
        <v>45618709.850000009</v>
      </c>
      <c r="S38" s="24">
        <f t="shared" si="21"/>
        <v>45618709.850000009</v>
      </c>
      <c r="T38" s="24">
        <f t="shared" si="21"/>
        <v>45618709.850000009</v>
      </c>
      <c r="U38" s="24"/>
      <c r="V38" s="24"/>
      <c r="W38" s="24"/>
      <c r="X38" s="24"/>
    </row>
    <row r="39" spans="3:24" ht="15.75" thickBot="1" x14ac:dyDescent="0.3">
      <c r="C39" s="40" t="s">
        <v>42</v>
      </c>
      <c r="D39" s="28"/>
      <c r="E39" s="28"/>
      <c r="F39" s="28"/>
      <c r="G39" s="56"/>
      <c r="H39" s="40" t="s">
        <v>42</v>
      </c>
      <c r="I39" s="24">
        <v>2000000</v>
      </c>
      <c r="J39" s="24">
        <v>2000000</v>
      </c>
      <c r="K39" s="24">
        <v>2000000</v>
      </c>
      <c r="L39" s="24">
        <v>2000000</v>
      </c>
      <c r="M39" s="24">
        <v>2000000</v>
      </c>
      <c r="N39" s="45">
        <v>2000000</v>
      </c>
      <c r="O39" s="24">
        <v>2000000</v>
      </c>
      <c r="P39" s="24">
        <v>2000000</v>
      </c>
      <c r="Q39" s="24">
        <v>2000000</v>
      </c>
      <c r="R39" s="24">
        <v>2000000</v>
      </c>
      <c r="S39" s="24">
        <v>2000000</v>
      </c>
      <c r="T39" s="24">
        <v>2000000</v>
      </c>
      <c r="U39" s="24"/>
      <c r="V39" s="24"/>
      <c r="W39" s="24"/>
      <c r="X39" s="24"/>
    </row>
    <row r="40" spans="3:24" ht="15.75" thickBot="1" x14ac:dyDescent="0.3">
      <c r="C40" s="58" t="s">
        <v>43</v>
      </c>
      <c r="D40" s="59"/>
      <c r="E40" s="59"/>
      <c r="F40" s="59"/>
      <c r="G40" s="59"/>
      <c r="H40" s="58" t="s">
        <v>43</v>
      </c>
      <c r="I40" s="60">
        <f>+I38-I39</f>
        <v>18525199.190000001</v>
      </c>
      <c r="J40" s="60">
        <f t="shared" ref="J40:X40" si="22">+J38-J39</f>
        <v>23945338.090000004</v>
      </c>
      <c r="K40" s="60">
        <f t="shared" si="22"/>
        <v>28540628.090000004</v>
      </c>
      <c r="L40" s="60">
        <f t="shared" si="22"/>
        <v>33459350.180000007</v>
      </c>
      <c r="M40" s="60">
        <f t="shared" si="22"/>
        <v>38311420.850000009</v>
      </c>
      <c r="N40" s="60">
        <f t="shared" si="22"/>
        <v>43618709.850000009</v>
      </c>
      <c r="O40" s="60">
        <f t="shared" si="22"/>
        <v>43618709.850000009</v>
      </c>
      <c r="P40" s="60">
        <f t="shared" si="22"/>
        <v>43618709.850000009</v>
      </c>
      <c r="Q40" s="60">
        <f t="shared" si="22"/>
        <v>43618709.850000009</v>
      </c>
      <c r="R40" s="60">
        <f t="shared" si="22"/>
        <v>43618709.850000009</v>
      </c>
      <c r="S40" s="60">
        <f t="shared" si="22"/>
        <v>43618709.850000009</v>
      </c>
      <c r="T40" s="60">
        <f t="shared" si="22"/>
        <v>43618709.850000009</v>
      </c>
      <c r="U40" s="60">
        <f t="shared" si="22"/>
        <v>0</v>
      </c>
      <c r="V40" s="60">
        <f t="shared" si="22"/>
        <v>0</v>
      </c>
      <c r="W40" s="60">
        <f t="shared" si="22"/>
        <v>0</v>
      </c>
      <c r="X40" s="60">
        <f t="shared" si="22"/>
        <v>0</v>
      </c>
    </row>
    <row r="41" spans="3:24" x14ac:dyDescent="0.25">
      <c r="D41" s="30"/>
      <c r="E41" s="30"/>
      <c r="F41" s="30"/>
      <c r="G41" s="30"/>
      <c r="H41" s="30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>
        <f>+T38-T39-T40</f>
        <v>0</v>
      </c>
      <c r="U41" s="12"/>
      <c r="V41" s="12"/>
      <c r="W41" s="12"/>
      <c r="X41" s="12"/>
    </row>
    <row r="42" spans="3:24" x14ac:dyDescent="0.25">
      <c r="D42" s="30"/>
      <c r="E42" s="30"/>
      <c r="F42" s="30"/>
      <c r="G42" s="30"/>
      <c r="H42" s="30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3:24" x14ac:dyDescent="0.25">
      <c r="D43" s="30"/>
      <c r="E43" s="30"/>
      <c r="F43" s="30"/>
      <c r="G43" s="30"/>
      <c r="H43" s="30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3:24" x14ac:dyDescent="0.25"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3:24" x14ac:dyDescent="0.25">
      <c r="M45" s="12"/>
    </row>
    <row r="46" spans="3:24" x14ac:dyDescent="0.25">
      <c r="M46" s="12"/>
    </row>
    <row r="47" spans="3:24" x14ac:dyDescent="0.25">
      <c r="M47" s="12"/>
    </row>
    <row r="48" spans="3:24" x14ac:dyDescent="0.25">
      <c r="M48" s="12"/>
    </row>
    <row r="49" spans="13:13" x14ac:dyDescent="0.25">
      <c r="M49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Vega</dc:creator>
  <cp:lastModifiedBy>Mercedes Vega</cp:lastModifiedBy>
  <dcterms:created xsi:type="dcterms:W3CDTF">2026-06-28T20:25:38Z</dcterms:created>
  <dcterms:modified xsi:type="dcterms:W3CDTF">2026-06-28T20:26:05Z</dcterms:modified>
</cp:coreProperties>
</file>